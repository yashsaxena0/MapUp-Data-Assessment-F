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xen\Downloads\"/>
    </mc:Choice>
  </mc:AlternateContent>
  <xr:revisionPtr revIDLastSave="0" documentId="13_ncr:1_{8891C40B-465F-46BC-95C4-A2F0FC21A217}" xr6:coauthVersionLast="47" xr6:coauthVersionMax="47" xr10:uidLastSave="{00000000-0000-0000-0000-000000000000}"/>
  <bookViews>
    <workbookView xWindow="-110" yWindow="-110" windowWidth="21820" windowHeight="139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B6" i="18"/>
  <c r="B29" i="18" s="1"/>
  <c r="C22" i="19" a="1"/>
  <c r="C22" i="19" s="1"/>
  <c r="C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E30" i="18"/>
  <c r="D30" i="18"/>
  <c r="F30" i="18"/>
  <c r="C30" i="18"/>
  <c r="F29" i="18"/>
  <c r="E29" i="18"/>
  <c r="D29" i="18"/>
  <c r="C29" i="18"/>
  <c r="F28" i="18"/>
  <c r="E28" i="18"/>
  <c r="D28" i="18"/>
  <c r="C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5" i="15"/>
  <c r="B28" i="18" l="1"/>
  <c r="B30" i="18"/>
</calcChain>
</file>

<file path=xl/sharedStrings.xml><?xml version="1.0" encoding="utf-8"?>
<sst xmlns="http://schemas.openxmlformats.org/spreadsheetml/2006/main" count="365" uniqueCount="216">
  <si>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</si>
  <si>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</si>
  <si>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</si>
  <si>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</si>
  <si>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</si>
  <si>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</si>
  <si>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</si>
  <si>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</si>
  <si>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</si>
  <si>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</si>
  <si>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</si>
  <si>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</si>
  <si>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</si>
  <si>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</si>
  <si>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</si>
  <si>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</si>
  <si>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</si>
  <si>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</si>
  <si>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</si>
  <si>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</si>
  <si>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</si>
  <si>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</si>
  <si>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</si>
  <si>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</si>
  <si>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</si>
  <si>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</si>
  <si>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</si>
  <si>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</si>
  <si>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</si>
  <si>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</si>
  <si>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</si>
  <si>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</si>
  <si>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</si>
  <si>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</si>
  <si>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</si>
  <si>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</si>
  <si>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</si>
  <si>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</si>
  <si>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</si>
  <si>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</si>
  <si>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</si>
  <si>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</si>
  <si>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</si>
  <si>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</si>
  <si>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</si>
  <si>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</si>
  <si>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</si>
  <si>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</si>
  <si>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</si>
  <si>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</si>
  <si>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</si>
  <si>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</si>
  <si>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</si>
  <si>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</si>
  <si>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</si>
  <si>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</si>
  <si>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</si>
  <si>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</si>
  <si>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</si>
  <si>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</si>
  <si>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</si>
  <si>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</si>
  <si>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</si>
  <si>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</si>
  <si>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</si>
  <si>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</si>
  <si>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</si>
  <si>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</si>
  <si>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</si>
  <si>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</si>
  <si>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</si>
  <si>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</si>
  <si>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</si>
  <si>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</si>
  <si>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</si>
  <si>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</si>
  <si>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</si>
  <si>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</si>
  <si>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</si>
  <si>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</si>
  <si>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</si>
  <si>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</si>
  <si>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</si>
  <si>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</si>
  <si>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</si>
  <si>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</si>
  <si>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</si>
  <si>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</si>
  <si>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</si>
  <si>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</si>
  <si>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</si>
  <si>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</si>
  <si>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</si>
  <si>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</si>
  <si>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</si>
  <si>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</si>
  <si>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</si>
  <si>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</si>
  <si>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</si>
  <si>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</si>
  <si>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</si>
  <si>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</si>
  <si>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</si>
  <si>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</si>
  <si>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</si>
  <si>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</si>
  <si>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</si>
  <si>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</si>
  <si>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</si>
  <si>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</si>
  <si>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</si>
  <si>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</si>
  <si>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</si>
  <si>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</si>
  <si>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</si>
  <si>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</si>
  <si>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</si>
  <si>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</si>
  <si>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</si>
  <si>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</si>
  <si>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</si>
  <si>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</si>
  <si>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</si>
  <si>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</si>
  <si>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</si>
  <si>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</si>
  <si>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</si>
  <si>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</si>
  <si>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</si>
  <si>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</si>
  <si>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</si>
  <si>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</si>
  <si>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</si>
  <si>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</si>
  <si>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</si>
  <si>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</si>
  <si>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</si>
  <si>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</si>
  <si>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</si>
  <si>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</si>
  <si>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</si>
  <si>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</si>
  <si>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</si>
  <si>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</si>
  <si>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</si>
  <si>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</si>
  <si>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</si>
  <si>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</si>
  <si>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</si>
  <si>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</si>
  <si>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</si>
  <si>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</si>
  <si>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</si>
  <si>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</si>
  <si>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</si>
  <si>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</si>
  <si>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</si>
  <si>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</si>
  <si>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</si>
  <si>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</si>
  <si>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</si>
  <si>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</si>
  <si>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</si>
  <si>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</si>
  <si>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</si>
  <si>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</si>
  <si>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</si>
  <si>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</si>
  <si>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</si>
  <si>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</si>
  <si>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</si>
  <si>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</si>
  <si>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</si>
  <si>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</si>
  <si>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</si>
  <si>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</si>
  <si>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</si>
  <si>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2023-05-05</t>
  </si>
  <si>
    <t>2023-05-02</t>
  </si>
  <si>
    <t>2023-05-09</t>
  </si>
  <si>
    <t>2023-05-13</t>
  </si>
  <si>
    <t>2023-05-30</t>
  </si>
  <si>
    <t>2023-05-11</t>
  </si>
  <si>
    <t>2023-05-06</t>
  </si>
  <si>
    <t>2023-06-21</t>
  </si>
  <si>
    <t>2023-06-15</t>
  </si>
  <si>
    <t>2023-06-27</t>
  </si>
  <si>
    <t>2023-07-09</t>
  </si>
  <si>
    <t>2023-07-03</t>
  </si>
  <si>
    <t>2023-06-18</t>
  </si>
  <si>
    <t>2023-06-19</t>
  </si>
  <si>
    <t>2023-06-20</t>
  </si>
  <si>
    <t>2023-06-22</t>
  </si>
  <si>
    <t>2023-06-23</t>
  </si>
  <si>
    <t>2023-06-24</t>
  </si>
  <si>
    <t>2023-06-25</t>
  </si>
  <si>
    <t>2023-06-26</t>
  </si>
  <si>
    <t>2023-06-28</t>
  </si>
  <si>
    <t>2023-06-29</t>
  </si>
  <si>
    <t>2023-06-30</t>
  </si>
  <si>
    <t>2023-07-01</t>
  </si>
  <si>
    <t>2023-07-02</t>
  </si>
  <si>
    <t>2023-07-04</t>
  </si>
  <si>
    <t>2023-07-05</t>
  </si>
  <si>
    <t>2023-07-06</t>
  </si>
  <si>
    <t>2023-07-07</t>
  </si>
  <si>
    <t>2023-07-08</t>
  </si>
  <si>
    <t>2023-07-10</t>
  </si>
  <si>
    <t>2023-07-11</t>
  </si>
  <si>
    <t>2023-07-12</t>
  </si>
  <si>
    <t>2023-07-13</t>
  </si>
  <si>
    <t>2023-07-14</t>
  </si>
  <si>
    <t>MID(row,start index,number of character)</t>
  </si>
  <si>
    <t>I have used substring formula to fill the data</t>
  </si>
  <si>
    <t>{=SUM(IF(ISNUMBER(VALUE(C12:C21)), VALUE(C12:C21), 20))}</t>
  </si>
  <si>
    <t>array operation of sum if it is number add it or not replace it with 20.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</si>
</sst>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C4C7C5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" fontId="3" fillId="0" borderId="1" xfId="0" applyNumberFormat="1" applyFont="1" applyBorder="1"/>
    <xf numFmtId="1" fontId="3" fillId="0" borderId="6" xfId="0" applyNumberFormat="1" applyFont="1" applyBorder="1"/>
    <xf numFmtId="1" fontId="3" fillId="0" borderId="7" xfId="0" applyNumberFormat="1" applyFont="1" applyBorder="1"/>
    <xf numFmtId="49" fontId="8" fillId="0" borderId="3" xfId="0" applyNumberFormat="1" applyFont="1" applyBorder="1"/>
    <xf numFmtId="49" fontId="8" fillId="0" borderId="5" xfId="0" applyNumberFormat="1" applyFont="1" applyBorder="1"/>
    <xf numFmtId="0" fontId="18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14" activePane="bottomLeft" state="frozen"/>
      <selection activeCell="T1" sqref="T1"/>
      <selection pane="bottomLeft" activeCell="R1" sqref="R1:R104857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 t="s">
        <v>177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 t="s">
        <v>178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 t="s">
        <v>179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 t="s">
        <v>180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 t="s">
        <v>181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 t="s">
        <v>182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 t="s">
        <v>183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 t="s">
        <v>184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 t="s">
        <v>185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 t="s">
        <v>186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 t="s">
        <v>187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 t="s">
        <v>188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 t="s">
        <v>189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 t="s">
        <v>190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 t="s">
        <v>191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 t="s">
        <v>184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 t="s">
        <v>192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 t="s">
        <v>193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 t="s">
        <v>194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 t="s">
        <v>195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 t="s">
        <v>196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 t="s">
        <v>186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 t="s">
        <v>197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 t="s">
        <v>198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 t="s">
        <v>199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 t="s">
        <v>200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 t="s">
        <v>201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 t="s">
        <v>188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 t="s">
        <v>202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 t="s">
        <v>203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 t="s">
        <v>204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 t="s">
        <v>205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 t="s">
        <v>206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 t="s">
        <v>187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 t="s">
        <v>207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 t="s">
        <v>208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 t="s">
        <v>209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 t="s">
        <v>210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 t="s">
        <v>211</v>
      </c>
    </row>
  </sheetData>
  <conditionalFormatting sqref="A1:X16 A18:X40 A17:C17 E17:X17">
    <cfRule type="cellIs" dxfId="1" priority="3" operator="equal">
      <formula>0</formula>
    </cfRule>
  </conditionalFormatting>
  <conditionalFormatting sqref="A1:X40">
    <cfRule type="cellIs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F8" sqref="F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>
        <f>SUMIF(H2:H40, 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IFERROR(VLOOKUP(A6, Dataset!A:G, 7,FALSE), "")</f>
        <v>2.7</v>
      </c>
      <c r="C6" s="11">
        <f>IFERROR(VLOOKUP(A6, Dataset!A:N, 14,FALSE), "")</f>
        <v>7.6</v>
      </c>
      <c r="D6" s="11">
        <f>IFERROR(VLOOKUP(A6, Dataset!A:R, 18,FALSE), "")</f>
        <v>4.2</v>
      </c>
      <c r="E6" s="11">
        <f>IFERROR(VLOOKUP(A6, Dataset!A:U, 20,FALSE), "")</f>
        <v>8.9</v>
      </c>
      <c r="F6" s="8">
        <f>IFERROR(VLOOKUP(A6, Dataset!A:W, 22,FALSE), "")</f>
        <v>4.2</v>
      </c>
    </row>
    <row r="7" spans="1:7" ht="14.5" x14ac:dyDescent="0.35">
      <c r="A7" s="7" t="s">
        <v>4</v>
      </c>
      <c r="B7" s="11">
        <f>IFERROR(VLOOKUP(A7, Dataset!A:G, 7,FALSE), "")</f>
        <v>2.7</v>
      </c>
      <c r="C7" s="11">
        <f>IFERROR(VLOOKUP(A7, Dataset!A:N, 14,FALSE), "")</f>
        <v>7.6</v>
      </c>
      <c r="D7" s="11">
        <f>IFERROR(VLOOKUP(A7, Dataset!A:R, 18,FALSE), "")</f>
        <v>4.2</v>
      </c>
      <c r="E7" s="11">
        <f>IFERROR(VLOOKUP(A7, Dataset!A:U, 20,FALSE), "")</f>
        <v>8.9</v>
      </c>
      <c r="F7" s="8">
        <f>IFERROR(VLOOKUP(A7, Dataset!A:W, 22,FALSE), "")</f>
        <v>4.2</v>
      </c>
    </row>
    <row r="8" spans="1:7" ht="14.5" x14ac:dyDescent="0.35">
      <c r="A8" s="7" t="s">
        <v>7</v>
      </c>
      <c r="B8" s="11">
        <f>IFERROR(VLOOKUP(A8, Dataset!A:G, 7,FALSE), "")</f>
        <v>3.6</v>
      </c>
      <c r="C8" s="11">
        <f>IFERROR(VLOOKUP(A8, Dataset!A:N, 14,FALSE), "")</f>
        <v>11.1</v>
      </c>
      <c r="D8" s="11">
        <f>IFERROR(VLOOKUP(A8, Dataset!A:R, 18,FALSE), "")</f>
        <v>5.8</v>
      </c>
      <c r="E8" s="11">
        <f>IFERROR(VLOOKUP(A8, Dataset!A:U, 20,FALSE), "")</f>
        <v>12.2</v>
      </c>
      <c r="F8" s="8">
        <f>IFERROR(VLOOKUP(A8, Dataset!A:W, 22,FALSE), "")</f>
        <v>5.8</v>
      </c>
    </row>
    <row r="9" spans="1:7" ht="14.5" x14ac:dyDescent="0.35">
      <c r="A9" s="7" t="s">
        <v>8</v>
      </c>
      <c r="B9" s="11">
        <f>IFERROR(VLOOKUP(A9, Dataset!A:G, 7,FALSE), "")</f>
        <v>4.9000000000000004</v>
      </c>
      <c r="C9" s="11">
        <f>IFERROR(VLOOKUP(A9, Dataset!A:N, 14,FALSE), "")</f>
        <v>13.3</v>
      </c>
      <c r="D9" s="11">
        <f>IFERROR(VLOOKUP(A9, Dataset!A:R, 18,FALSE), "")</f>
        <v>8.1</v>
      </c>
      <c r="E9" s="11">
        <f>IFERROR(VLOOKUP(A9, Dataset!A:U, 20,FALSE), "")</f>
        <v>17</v>
      </c>
      <c r="F9" s="8">
        <f>IFERROR(VLOOKUP(A9, Dataset!A:W, 22,FALSE), "")</f>
        <v>8.1</v>
      </c>
    </row>
    <row r="10" spans="1:7" ht="14.5" x14ac:dyDescent="0.35">
      <c r="A10" s="7" t="s">
        <v>11</v>
      </c>
      <c r="B10" s="11">
        <f>IFERROR(VLOOKUP(A10, Dataset!A:G, 7,FALSE), "")</f>
        <v>9.4</v>
      </c>
      <c r="C10" s="11">
        <f>IFERROR(VLOOKUP(A10, Dataset!A:N, 14,FALSE), "")</f>
        <v>28.3</v>
      </c>
      <c r="D10" s="11">
        <f>IFERROR(VLOOKUP(A10, Dataset!A:R, 18,FALSE), "")</f>
        <v>16.100000000000001</v>
      </c>
      <c r="E10" s="11">
        <f>IFERROR(VLOOKUP(A10, Dataset!A:U, 20,FALSE), "")</f>
        <v>32.799999999999997</v>
      </c>
      <c r="F10" s="8">
        <f>IFERROR(VLOOKUP(A10, Dataset!A:W, 22,FALSE), "")</f>
        <v>16.100000000000001</v>
      </c>
    </row>
    <row r="11" spans="1:7" ht="14.5" x14ac:dyDescent="0.35">
      <c r="A11" s="7" t="s">
        <v>12</v>
      </c>
      <c r="B11" s="11">
        <f>IFERROR(VLOOKUP(A11, Dataset!A:G, 7,FALSE), "")</f>
        <v>11.6</v>
      </c>
      <c r="C11" s="11">
        <f>IFERROR(VLOOKUP(A11, Dataset!A:N, 14,FALSE), "")</f>
        <v>35.200000000000003</v>
      </c>
      <c r="D11" s="11">
        <f>IFERROR(VLOOKUP(A11, Dataset!A:R, 18,FALSE), "")</f>
        <v>21.3</v>
      </c>
      <c r="E11" s="11">
        <f>IFERROR(VLOOKUP(A11, Dataset!A:U, 20,FALSE), "")</f>
        <v>43</v>
      </c>
      <c r="F11" s="8">
        <f>IFERROR(VLOOKUP(A11, Dataset!A:W, 22,FALSE), "")</f>
        <v>21.3</v>
      </c>
    </row>
    <row r="12" spans="1:7" ht="14.5" x14ac:dyDescent="0.35">
      <c r="A12" s="7" t="s">
        <v>14</v>
      </c>
      <c r="B12" s="11">
        <f>IFERROR(VLOOKUP(A12, Dataset!A:G, 7,FALSE), "")</f>
        <v>18.399999999999999</v>
      </c>
      <c r="C12" s="11">
        <f>IFERROR(VLOOKUP(A12, Dataset!A:N, 14,FALSE), "")</f>
        <v>55.6</v>
      </c>
      <c r="D12" s="11">
        <f>IFERROR(VLOOKUP(A12, Dataset!A:R, 18,FALSE), "")</f>
        <v>33.799999999999997</v>
      </c>
      <c r="E12" s="11">
        <f>IFERROR(VLOOKUP(A12, Dataset!A:U, 20,FALSE), "")</f>
        <v>67.900000000000006</v>
      </c>
      <c r="F12" s="8">
        <f>IFERROR(VLOOKUP(A12, Dataset!A:W, 22,FALSE), "")</f>
        <v>33.799999999999997</v>
      </c>
    </row>
    <row r="13" spans="1:7" ht="14.5" x14ac:dyDescent="0.35">
      <c r="A13" s="7" t="s">
        <v>15</v>
      </c>
      <c r="B13" s="11">
        <f>IFERROR(VLOOKUP(A13, Dataset!A:G, 7,FALSE), "")</f>
        <v>0</v>
      </c>
      <c r="C13" s="11">
        <f>IFERROR(VLOOKUP(A13, Dataset!A:N, 14,FALSE), "")</f>
        <v>0</v>
      </c>
      <c r="D13" s="11">
        <f>IFERROR(VLOOKUP(A13, Dataset!A:R, 18,FALSE), "")</f>
        <v>0</v>
      </c>
      <c r="E13" s="11">
        <f>IFERROR(VLOOKUP(A13, Dataset!A:U, 20,FALSE), "")</f>
        <v>0</v>
      </c>
      <c r="F13" s="8">
        <f>IFERROR(VLOOKUP(A13, Dataset!A:W, 22,FALSE), "")</f>
        <v>0</v>
      </c>
    </row>
    <row r="14" spans="1:7" ht="14.5" x14ac:dyDescent="0.35">
      <c r="A14" s="7" t="s">
        <v>16</v>
      </c>
      <c r="B14" s="11">
        <f>IFERROR(VLOOKUP(A14, Dataset!A:G, 7,FALSE), "")</f>
        <v>21.9</v>
      </c>
      <c r="C14" s="11">
        <f>IFERROR(VLOOKUP(A14, Dataset!A:N, 14,FALSE), "")</f>
        <v>61.5</v>
      </c>
      <c r="D14" s="11">
        <f>IFERROR(VLOOKUP(A14, Dataset!A:R, 18,FALSE), "")</f>
        <v>40.1</v>
      </c>
      <c r="E14" s="11">
        <f>IFERROR(VLOOKUP(A14, Dataset!A:U, 20,FALSE), "")</f>
        <v>76.599999999999994</v>
      </c>
      <c r="F14" s="8">
        <f>IFERROR(VLOOKUP(A14, Dataset!A:W, 22,FALSE), "")</f>
        <v>40.1</v>
      </c>
    </row>
    <row r="15" spans="1:7" ht="14.5" x14ac:dyDescent="0.35">
      <c r="A15" s="7" t="s">
        <v>18</v>
      </c>
      <c r="B15" s="11">
        <f>IFERROR(VLOOKUP(A15, Dataset!A:G, 7,FALSE), "")</f>
        <v>26.8</v>
      </c>
      <c r="C15" s="11">
        <f>IFERROR(VLOOKUP(A15, Dataset!A:N, 14,FALSE), "")</f>
        <v>79.599999999999994</v>
      </c>
      <c r="D15" s="11">
        <f>IFERROR(VLOOKUP(A15, Dataset!A:R, 18,FALSE), "")</f>
        <v>47.9</v>
      </c>
      <c r="E15" s="11">
        <f>IFERROR(VLOOKUP(A15, Dataset!A:U, 20,FALSE), "")</f>
        <v>96.8</v>
      </c>
      <c r="F15" s="8">
        <f>IFERROR(VLOOKUP(A15, Dataset!A:W, 22,FALSE), "")</f>
        <v>47.9</v>
      </c>
    </row>
    <row r="16" spans="1:7" ht="14.5" x14ac:dyDescent="0.35">
      <c r="A16" s="7" t="s">
        <v>20</v>
      </c>
      <c r="B16" s="11">
        <f>IFERROR(VLOOKUP(A16, Dataset!A:G, 7,FALSE), "")</f>
        <v>28.5</v>
      </c>
      <c r="C16" s="11">
        <f>IFERROR(VLOOKUP(A16, Dataset!A:N, 14,FALSE), "")</f>
        <v>85.4</v>
      </c>
      <c r="D16" s="11">
        <f>IFERROR(VLOOKUP(A16, Dataset!A:R, 18,FALSE), "")</f>
        <v>52.3</v>
      </c>
      <c r="E16" s="11">
        <f>IFERROR(VLOOKUP(A16, Dataset!A:U, 20,FALSE), "")</f>
        <v>106.1</v>
      </c>
      <c r="F16" s="8">
        <f>IFERROR(VLOOKUP(A16, Dataset!A:W, 22,FALSE), "")</f>
        <v>52.3</v>
      </c>
    </row>
    <row r="17" spans="1:6" ht="14.5" x14ac:dyDescent="0.35">
      <c r="A17" s="7" t="s">
        <v>22</v>
      </c>
      <c r="B17" s="11">
        <f>IFERROR(VLOOKUP(A17, Dataset!A:G, 7,FALSE), "")</f>
        <v>30.7</v>
      </c>
      <c r="C17" s="11">
        <f>IFERROR(VLOOKUP(A17, Dataset!A:N, 14,FALSE), "")</f>
        <v>92.1</v>
      </c>
      <c r="D17" s="11">
        <f>IFERROR(VLOOKUP(A17, Dataset!A:R, 18,FALSE), "")</f>
        <v>57</v>
      </c>
      <c r="E17" s="11">
        <f>IFERROR(VLOOKUP(A17, Dataset!A:U, 20,FALSE), "")</f>
        <v>115.1</v>
      </c>
      <c r="F17" s="8">
        <f>IFERROR(VLOOKUP(A17, Dataset!A:W, 22,FALSE), "")</f>
        <v>57</v>
      </c>
    </row>
    <row r="18" spans="1:6" ht="14.5" x14ac:dyDescent="0.35">
      <c r="A18" s="7" t="s">
        <v>23</v>
      </c>
      <c r="B18" s="11">
        <f>IFERROR(VLOOKUP(A18, Dataset!A:G, 7,FALSE), "")</f>
        <v>33.799999999999997</v>
      </c>
      <c r="C18" s="11">
        <f>IFERROR(VLOOKUP(A18, Dataset!A:N, 14,FALSE), "")</f>
        <v>101.3</v>
      </c>
      <c r="D18" s="11">
        <f>IFERROR(VLOOKUP(A18, Dataset!A:R, 18,FALSE), "")</f>
        <v>61.4</v>
      </c>
      <c r="E18" s="11">
        <f>IFERROR(VLOOKUP(A18, Dataset!A:U, 20,FALSE), "")</f>
        <v>124.4</v>
      </c>
      <c r="F18" s="8">
        <f>IFERROR(VLOOKUP(A18, Dataset!A:W, 22,FALSE), "")</f>
        <v>61.4</v>
      </c>
    </row>
    <row r="19" spans="1:6" ht="14.5" x14ac:dyDescent="0.35">
      <c r="A19" s="7" t="s">
        <v>24</v>
      </c>
      <c r="B19" s="11">
        <f>IFERROR(VLOOKUP(A19, Dataset!A:G, 7,FALSE), "")</f>
        <v>34.700000000000003</v>
      </c>
      <c r="C19" s="11">
        <f>IFERROR(VLOOKUP(A19, Dataset!A:N, 14,FALSE), "")</f>
        <v>106.1</v>
      </c>
      <c r="D19" s="11">
        <f>IFERROR(VLOOKUP(A19, Dataset!A:R, 18,FALSE), "")</f>
        <v>63.6</v>
      </c>
      <c r="E19" s="11">
        <f>IFERROR(VLOOKUP(A19, Dataset!A:U, 20,FALSE), "")</f>
        <v>128.6</v>
      </c>
      <c r="F19" s="8">
        <f>IFERROR(VLOOKUP(A19, Dataset!A:W, 22,FALSE), "")</f>
        <v>63.6</v>
      </c>
    </row>
    <row r="20" spans="1:6" ht="14.5" x14ac:dyDescent="0.35">
      <c r="A20" s="7" t="s">
        <v>28</v>
      </c>
      <c r="B20" s="11">
        <f>IFERROR(VLOOKUP(A20, Dataset!A:G, 7,FALSE), "")</f>
        <v>0</v>
      </c>
      <c r="C20" s="11">
        <f>IFERROR(VLOOKUP(A20, Dataset!A:N, 14,FALSE), "")</f>
        <v>0</v>
      </c>
      <c r="D20" s="11">
        <f>IFERROR(VLOOKUP(A20, Dataset!A:R, 18,FALSE), "")</f>
        <v>0</v>
      </c>
      <c r="E20" s="11">
        <f>IFERROR(VLOOKUP(A20, Dataset!A:U, 20,FALSE), "")</f>
        <v>0</v>
      </c>
      <c r="F20" s="8">
        <f>IFERROR(VLOOKUP(A20, Dataset!A:W, 22,FALSE), "")</f>
        <v>0</v>
      </c>
    </row>
    <row r="21" spans="1:6" ht="14.5" x14ac:dyDescent="0.35">
      <c r="A21" s="7" t="s">
        <v>57</v>
      </c>
      <c r="B21" s="11">
        <f>IFERROR(VLOOKUP(A21, Dataset!A:G, 7,FALSE), "")</f>
        <v>41.3</v>
      </c>
      <c r="C21" s="11">
        <f>IFERROR(VLOOKUP(A21, Dataset!A:N, 14,FALSE), "")</f>
        <v>124.4</v>
      </c>
      <c r="D21" s="11">
        <f>IFERROR(VLOOKUP(A21, Dataset!A:R, 18,FALSE), "")</f>
        <v>75</v>
      </c>
      <c r="E21" s="11">
        <f>IFERROR(VLOOKUP(A21, Dataset!A:U, 20,FALSE), "")</f>
        <v>151.5</v>
      </c>
      <c r="F21" s="8">
        <f>IFERROR(VLOOKUP(A21, Dataset!A:W, 22,FALSE), "")</f>
        <v>75</v>
      </c>
    </row>
    <row r="22" spans="1:6" ht="14.5" x14ac:dyDescent="0.35">
      <c r="A22" s="7" t="s">
        <v>58</v>
      </c>
      <c r="B22" s="11">
        <f>IFERROR(VLOOKUP(A22, Dataset!A:G, 7,FALSE), "")</f>
        <v>-1</v>
      </c>
      <c r="C22" s="11">
        <f>IFERROR(VLOOKUP(A22, Dataset!A:N, 14,FALSE), "")</f>
        <v>-1</v>
      </c>
      <c r="D22" s="11">
        <f>IFERROR(VLOOKUP(A22, Dataset!A:R, 18,FALSE), "")</f>
        <v>-1</v>
      </c>
      <c r="E22" s="11">
        <f>IFERROR(VLOOKUP(A22, Dataset!A:U, 20,FALSE), "")</f>
        <v>-1</v>
      </c>
      <c r="F22" s="8">
        <f>IFERROR(VLOOKUP(A22, Dataset!A:W, 22,FALSE), "")</f>
        <v>-1</v>
      </c>
    </row>
    <row r="23" spans="1:6" ht="14.5" x14ac:dyDescent="0.35">
      <c r="A23" s="7" t="s">
        <v>31</v>
      </c>
      <c r="B23" s="11">
        <f>IFERROR(VLOOKUP(A23, Dataset!A:G, 7,FALSE), "")</f>
        <v>45</v>
      </c>
      <c r="C23" s="11">
        <f>IFERROR(VLOOKUP(A23, Dataset!A:N, 14,FALSE), "")</f>
        <v>133.4</v>
      </c>
      <c r="D23" s="11">
        <f>IFERROR(VLOOKUP(A23, Dataset!A:R, 18,FALSE), "")</f>
        <v>79.400000000000006</v>
      </c>
      <c r="E23" s="11">
        <f>IFERROR(VLOOKUP(A23, Dataset!A:U, 20,FALSE), "")</f>
        <v>160.9</v>
      </c>
      <c r="F23" s="8">
        <f>IFERROR(VLOOKUP(A23, Dataset!A:W, 22,FALSE), "")</f>
        <v>79.400000000000006</v>
      </c>
    </row>
    <row r="24" spans="1:6" ht="14.5" x14ac:dyDescent="0.35">
      <c r="A24" s="7" t="s">
        <v>32</v>
      </c>
      <c r="B24" s="11">
        <f>IFERROR(VLOOKUP(A24, Dataset!A:G, 7,FALSE), "")</f>
        <v>-1</v>
      </c>
      <c r="C24" s="11">
        <f>IFERROR(VLOOKUP(A24, Dataset!A:N, 14,FALSE), "")</f>
        <v>-1</v>
      </c>
      <c r="D24" s="11">
        <f>IFERROR(VLOOKUP(A24, Dataset!A:R, 18,FALSE), "")</f>
        <v>-1</v>
      </c>
      <c r="E24" s="11">
        <f>IFERROR(VLOOKUP(A24, Dataset!A:U, 20,FALSE), "")</f>
        <v>-1</v>
      </c>
      <c r="F24" s="8">
        <f>IFERROR(VLOOKUP(A24, Dataset!A:W, 22,FALSE), "")</f>
        <v>-1</v>
      </c>
    </row>
    <row r="25" spans="1:6" ht="14.5" x14ac:dyDescent="0.35">
      <c r="A25" s="7" t="s">
        <v>34</v>
      </c>
      <c r="B25" s="11">
        <f>IFERROR(VLOOKUP(A25, Dataset!A:G, 7,FALSE), "")</f>
        <v>43.3</v>
      </c>
      <c r="C25" s="11">
        <f>IFERROR(VLOOKUP(A25, Dataset!A:N, 14,FALSE), "")</f>
        <v>128.6</v>
      </c>
      <c r="D25" s="11">
        <f>IFERROR(VLOOKUP(A25, Dataset!A:R, 18,FALSE), "")</f>
        <v>79.400000000000006</v>
      </c>
      <c r="E25" s="11">
        <f>IFERROR(VLOOKUP(A25, Dataset!A:U, 20,FALSE), "")</f>
        <v>160.9</v>
      </c>
      <c r="F25" s="8">
        <f>IFERROR(VLOOKUP(A25, Dataset!A:W, 22,FALSE), "")</f>
        <v>79.400000000000006</v>
      </c>
    </row>
    <row r="26" spans="1:6" ht="14.5" x14ac:dyDescent="0.35">
      <c r="A26" s="7" t="s">
        <v>37</v>
      </c>
      <c r="B26" s="11">
        <f>IFERROR(VLOOKUP(A26, Dataset!A:G, 7,FALSE), "")</f>
        <v>49.1</v>
      </c>
      <c r="C26" s="11">
        <f>IFERROR(VLOOKUP(A26, Dataset!A:N, 14,FALSE), "")</f>
        <v>146.80000000000001</v>
      </c>
      <c r="D26" s="11">
        <f>IFERROR(VLOOKUP(A26, Dataset!A:R, 18,FALSE), "")</f>
        <v>90.9</v>
      </c>
      <c r="E26" s="11">
        <f>IFERROR(VLOOKUP(A26, Dataset!A:U, 20,FALSE), "")</f>
        <v>183.5</v>
      </c>
      <c r="F26" s="8">
        <f>IFERROR(VLOOKUP(A26, Dataset!A:W, 22,FALSE), "")</f>
        <v>90.9</v>
      </c>
    </row>
    <row r="27" spans="1:6" ht="14.5" x14ac:dyDescent="0.35">
      <c r="A27" s="7" t="s">
        <v>39</v>
      </c>
      <c r="B27" s="11">
        <f>IFERROR(VLOOKUP(A27, Dataset!A:G, 7,FALSE), "")</f>
        <v>51.8</v>
      </c>
      <c r="C27" s="11">
        <f>IFERROR(VLOOKUP(A27, Dataset!A:N, 14,FALSE), "")</f>
        <v>156.4</v>
      </c>
      <c r="D27" s="11">
        <f>IFERROR(VLOOKUP(A27, Dataset!A:R, 18,FALSE), "")</f>
        <v>93.1</v>
      </c>
      <c r="E27" s="11">
        <f>IFERROR(VLOOKUP(A27, Dataset!A:U, 20,FALSE), "")</f>
        <v>188.1</v>
      </c>
      <c r="F27" s="8">
        <f>IFERROR(VLOOKUP(A27, Dataset!A:W, 22,FALSE), "")</f>
        <v>93.1</v>
      </c>
    </row>
    <row r="28" spans="1:6" ht="14.5" x14ac:dyDescent="0.35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8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8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 t="shared" ref="F30" si="0"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6"/>
  <sheetViews>
    <sheetView topLeftCell="A7" zoomScaleNormal="100" workbookViewId="0">
      <selection activeCell="B15" sqref="B1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 t="s">
        <v>212</v>
      </c>
    </row>
    <row r="6" spans="1:10" ht="18.5" x14ac:dyDescent="0.45">
      <c r="A6" s="43" t="s">
        <v>153</v>
      </c>
      <c r="B6" s="40" t="s">
        <v>213</v>
      </c>
    </row>
    <row r="7" spans="1:10" ht="18.5" x14ac:dyDescent="0.45">
      <c r="A7" s="43"/>
      <c r="B7" s="40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MID(A16, 1, FIND("-", A16) - 1)</f>
        <v>20000</v>
      </c>
      <c r="C16" s="1" t="str">
        <f>MID(A16, 7,6)</f>
        <v>Monday</v>
      </c>
      <c r="D16" s="11" t="str">
        <f>MID(A16,14,1)</f>
        <v>0</v>
      </c>
      <c r="E16" s="1" t="str">
        <f>MID(A16,16,6)</f>
        <v>Sunday</v>
      </c>
      <c r="F16" s="11" t="str">
        <f>MID(A16,23,2)</f>
        <v>24</v>
      </c>
    </row>
    <row r="17" spans="1:6" x14ac:dyDescent="0.35">
      <c r="A17" s="7" t="s">
        <v>122</v>
      </c>
      <c r="B17" s="11" t="str">
        <f t="shared" ref="B17:B54" si="0">MID(A17, 1, FIND("-", A17) - 1)</f>
        <v>20002</v>
      </c>
      <c r="C17" s="1" t="str">
        <f t="shared" ref="C17:C54" si="1">MID(A17, 7,6)</f>
        <v>Monday</v>
      </c>
      <c r="D17" s="1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4" si="4">MID(A17,23,2)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  <row r="55" spans="1:6" x14ac:dyDescent="0.35">
      <c r="B55" s="11"/>
      <c r="F55" s="11"/>
    </row>
    <row r="56" spans="1:6" x14ac:dyDescent="0.35">
      <c r="B56" s="11"/>
      <c r="F56" s="11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167</v>
      </c>
    </row>
    <row r="2" spans="1:3" ht="18.5" x14ac:dyDescent="0.45">
      <c r="B2" s="40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214</v>
      </c>
    </row>
    <row r="7" spans="1:3" ht="14.5" x14ac:dyDescent="0.35">
      <c r="A7" s="3" t="s">
        <v>153</v>
      </c>
      <c r="B7" s="1" t="s">
        <v>215</v>
      </c>
    </row>
    <row r="10" spans="1:3" ht="23.5" x14ac:dyDescent="0.55000000000000004">
      <c r="A10" s="17" t="s">
        <v>162</v>
      </c>
    </row>
    <row r="11" spans="1:3" ht="14.5" x14ac:dyDescent="0.35">
      <c r="A11" s="32" t="s">
        <v>86</v>
      </c>
      <c r="B11" s="16" t="s">
        <v>87</v>
      </c>
      <c r="C11" s="16" t="s">
        <v>88</v>
      </c>
    </row>
    <row r="12" spans="1:3" ht="14.5" x14ac:dyDescent="0.35">
      <c r="A12" s="32">
        <v>44927</v>
      </c>
      <c r="B12" s="16" t="s">
        <v>59</v>
      </c>
      <c r="C12" s="44">
        <v>200</v>
      </c>
    </row>
    <row r="13" spans="1:3" ht="14.5" x14ac:dyDescent="0.35">
      <c r="A13" s="32">
        <v>44928</v>
      </c>
      <c r="B13" s="16" t="s">
        <v>60</v>
      </c>
      <c r="C13" s="44" t="e">
        <v>#N/A</v>
      </c>
    </row>
    <row r="14" spans="1:3" ht="14.5" x14ac:dyDescent="0.35">
      <c r="A14" s="32">
        <v>44929</v>
      </c>
      <c r="B14" s="16" t="s">
        <v>61</v>
      </c>
      <c r="C14" s="44">
        <v>50</v>
      </c>
    </row>
    <row r="15" spans="1:3" ht="14.5" x14ac:dyDescent="0.35">
      <c r="A15" s="32">
        <v>44930</v>
      </c>
      <c r="B15" s="16" t="s">
        <v>62</v>
      </c>
      <c r="C15" s="44" t="e">
        <v>#N/A</v>
      </c>
    </row>
    <row r="16" spans="1:3" ht="14.5" x14ac:dyDescent="0.35">
      <c r="A16" s="32">
        <v>44931</v>
      </c>
      <c r="B16" s="16" t="s">
        <v>63</v>
      </c>
      <c r="C16" s="44">
        <v>10</v>
      </c>
    </row>
    <row r="17" spans="1:3" ht="14.5" x14ac:dyDescent="0.35">
      <c r="A17" s="32">
        <v>44932</v>
      </c>
      <c r="B17" s="16" t="s">
        <v>154</v>
      </c>
      <c r="C17" s="44">
        <v>150</v>
      </c>
    </row>
    <row r="18" spans="1:3" ht="14.5" x14ac:dyDescent="0.35">
      <c r="A18" s="32">
        <v>44933</v>
      </c>
      <c r="B18" s="16" t="s">
        <v>155</v>
      </c>
      <c r="C18" s="44">
        <v>80</v>
      </c>
    </row>
    <row r="19" spans="1:3" ht="14.5" x14ac:dyDescent="0.35">
      <c r="A19" s="32">
        <v>44934</v>
      </c>
      <c r="B19" s="16" t="s">
        <v>156</v>
      </c>
      <c r="C19" s="44" t="e">
        <v>#N/A</v>
      </c>
    </row>
    <row r="20" spans="1:3" ht="14.5" x14ac:dyDescent="0.35">
      <c r="A20" s="32">
        <v>44935</v>
      </c>
      <c r="B20" s="16" t="s">
        <v>157</v>
      </c>
      <c r="C20" s="44">
        <v>30</v>
      </c>
    </row>
    <row r="21" spans="1:3" ht="14.5" x14ac:dyDescent="0.35">
      <c r="A21" s="32">
        <v>44936</v>
      </c>
      <c r="B21" s="16" t="s">
        <v>158</v>
      </c>
      <c r="C21" s="44" t="e">
        <v>#N/A</v>
      </c>
    </row>
    <row r="22" spans="1:3" ht="14.5" x14ac:dyDescent="0.35">
      <c r="B22" s="16" t="s">
        <v>159</v>
      </c>
      <c r="C22" s="24">
        <f t="array" ref="C22">SUM(IF(ISNUMBER(VALUE(C12:C21)), VALUE(C12:C21),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45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45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45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45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45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45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45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45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46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9" t="e">
        <f>VLOOKUP(A23,M10:M18,14,FALSE)</f>
        <v>#REF!</v>
      </c>
    </row>
    <row r="24" spans="1:14" ht="14.5" x14ac:dyDescent="0.35">
      <c r="A24" s="7">
        <v>10100</v>
      </c>
      <c r="B24" s="11">
        <v>10104</v>
      </c>
      <c r="C24" s="47"/>
    </row>
    <row r="25" spans="1:14" ht="14.5" x14ac:dyDescent="0.35">
      <c r="A25" s="7">
        <v>10108</v>
      </c>
      <c r="B25" s="11">
        <v>10102</v>
      </c>
      <c r="C25" s="47"/>
    </row>
    <row r="26" spans="1:14" ht="14.5" x14ac:dyDescent="0.35">
      <c r="A26" s="7">
        <v>10100</v>
      </c>
      <c r="B26" s="11">
        <v>10106</v>
      </c>
      <c r="C26" s="47"/>
    </row>
    <row r="27" spans="1:14" ht="14.5" x14ac:dyDescent="0.35">
      <c r="A27" s="7">
        <v>10108</v>
      </c>
      <c r="B27" s="11">
        <v>10110</v>
      </c>
      <c r="C27" s="47"/>
    </row>
    <row r="28" spans="1:14" ht="14.5" x14ac:dyDescent="0.35">
      <c r="A28" s="7">
        <v>10102</v>
      </c>
      <c r="B28" s="11">
        <v>10104</v>
      </c>
      <c r="C28" s="47"/>
    </row>
    <row r="29" spans="1:14" ht="14.5" x14ac:dyDescent="0.35">
      <c r="A29" s="7">
        <v>10106</v>
      </c>
      <c r="B29" s="11">
        <v>10108</v>
      </c>
      <c r="C29" s="47"/>
    </row>
    <row r="30" spans="1:14" ht="14.5" x14ac:dyDescent="0.35">
      <c r="A30" s="7">
        <v>10102</v>
      </c>
      <c r="B30" s="11">
        <v>10106</v>
      </c>
      <c r="C30" s="47"/>
    </row>
    <row r="31" spans="1:14" ht="14.5" x14ac:dyDescent="0.35">
      <c r="A31" s="7">
        <v>10110</v>
      </c>
      <c r="B31" s="11">
        <v>10114</v>
      </c>
      <c r="C31" s="47"/>
    </row>
    <row r="32" spans="1:14" ht="14.5" x14ac:dyDescent="0.35">
      <c r="A32" s="7">
        <v>10104</v>
      </c>
      <c r="B32" s="11">
        <v>10106</v>
      </c>
      <c r="C32" s="47"/>
    </row>
    <row r="33" spans="1:3" ht="14.5" x14ac:dyDescent="0.35">
      <c r="A33" s="7">
        <v>10110</v>
      </c>
      <c r="B33" s="11">
        <v>10112</v>
      </c>
      <c r="C33" s="47"/>
    </row>
    <row r="34" spans="1:3" ht="14.5" x14ac:dyDescent="0.35">
      <c r="A34" s="7">
        <v>10100</v>
      </c>
      <c r="B34" s="11">
        <v>10114</v>
      </c>
      <c r="C34" s="47"/>
    </row>
    <row r="35" spans="1:3" ht="14.5" x14ac:dyDescent="0.35">
      <c r="A35" s="9">
        <v>10112</v>
      </c>
      <c r="B35" s="12">
        <v>10116</v>
      </c>
      <c r="C35" s="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yash saxena</cp:lastModifiedBy>
  <dcterms:created xsi:type="dcterms:W3CDTF">2015-02-10T17:33:11Z</dcterms:created>
  <dcterms:modified xsi:type="dcterms:W3CDTF">2023-12-11T13:55:28Z</dcterms:modified>
</cp:coreProperties>
</file>